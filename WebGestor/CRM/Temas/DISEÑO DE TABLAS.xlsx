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trol de personal\"/>
    </mc:Choice>
  </mc:AlternateContent>
  <xr:revisionPtr revIDLastSave="0" documentId="8_{D4607FD9-94B7-48F8-BE04-16C3ECC4BB75}" xr6:coauthVersionLast="47" xr6:coauthVersionMax="47" xr10:uidLastSave="{00000000-0000-0000-0000-000000000000}"/>
  <bookViews>
    <workbookView xWindow="-120" yWindow="-120" windowWidth="20730" windowHeight="11760" activeTab="5" xr2:uid="{10EFD910-AAD8-4FD8-BCE3-26B44ADBCB53}"/>
  </bookViews>
  <sheets>
    <sheet name="EVENTOS" sheetId="2" r:id="rId1"/>
    <sheet name="PARTICIPANTES EVENTO" sheetId="3" r:id="rId2"/>
    <sheet name="MATERIAL DEL EVENTO" sheetId="4" r:id="rId3"/>
    <sheet name="MATERIALES" sheetId="5" r:id="rId4"/>
    <sheet name="PERMISOS DESCANSOS" sheetId="6" r:id="rId5"/>
    <sheet name="COMPENSACIONE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6" l="1"/>
  <c r="J4" i="6"/>
  <c r="J2" i="6"/>
  <c r="J4" i="3"/>
  <c r="H4" i="3"/>
  <c r="K2" i="3"/>
  <c r="H2" i="3"/>
  <c r="J3" i="3"/>
  <c r="H3" i="3"/>
</calcChain>
</file>

<file path=xl/sharedStrings.xml><?xml version="1.0" encoding="utf-8"?>
<sst xmlns="http://schemas.openxmlformats.org/spreadsheetml/2006/main" count="81" uniqueCount="75">
  <si>
    <t>DESCRIPCION DEL EVENTO</t>
  </si>
  <si>
    <t>FECHA  INICAL DEL EVENTO</t>
  </si>
  <si>
    <t>FECHA  FIN DEL EVENTO</t>
  </si>
  <si>
    <t>HORA INICIAL</t>
  </si>
  <si>
    <t>HORA FINAL</t>
  </si>
  <si>
    <t>TIPO DE EVENTO</t>
  </si>
  <si>
    <t>NOMBRE DEL EVENTO</t>
  </si>
  <si>
    <t>OBJETIVO DEL EVENTO</t>
  </si>
  <si>
    <t>CONTACTO EVENTO</t>
  </si>
  <si>
    <t>TELEFONO DE CONTACTO</t>
  </si>
  <si>
    <t>CODIGO DE EVENTO</t>
  </si>
  <si>
    <t>ESTADO DE EVENTO</t>
  </si>
  <si>
    <t>PROGRAMADO</t>
  </si>
  <si>
    <t>EN PROCESO</t>
  </si>
  <si>
    <t>REALIZADO</t>
  </si>
  <si>
    <t>PERSONAL ASIGNADO</t>
  </si>
  <si>
    <t>HORA DE INGRESO PROGRAMADA</t>
  </si>
  <si>
    <t>HORA DE SALIDA PROGRAMADA</t>
  </si>
  <si>
    <t>FECHA</t>
  </si>
  <si>
    <t>HORA INGRESO REAL</t>
  </si>
  <si>
    <t>HORA SALIDA REAL</t>
  </si>
  <si>
    <t>P001</t>
  </si>
  <si>
    <t>GIMNASIO RODRIGUEZ</t>
  </si>
  <si>
    <t>ENTREGA DE MUESTRAS</t>
  </si>
  <si>
    <t>PROMOCION</t>
  </si>
  <si>
    <t>INFORMACION DE PRODUCTOS  NUEVOS</t>
  </si>
  <si>
    <t>JUAN RODRIGUEZ</t>
  </si>
  <si>
    <t>HORAS COMPENSAR POR LA EMPRESA</t>
  </si>
  <si>
    <t>HORAS COMPENSAR POR EL TRABAJADOR</t>
  </si>
  <si>
    <t>HORAS LABORADAS</t>
  </si>
  <si>
    <t xml:space="preserve">HORAS </t>
  </si>
  <si>
    <t>P002</t>
  </si>
  <si>
    <t>RESPONSABLE</t>
  </si>
  <si>
    <t>MATERIAL</t>
  </si>
  <si>
    <t>M1</t>
  </si>
  <si>
    <t>CANTIDAD REQUERIDA</t>
  </si>
  <si>
    <t>CANTIDAD PROVISTA</t>
  </si>
  <si>
    <t>CODIGO</t>
  </si>
  <si>
    <t>MA1</t>
  </si>
  <si>
    <t>CODIGO INTERNO</t>
  </si>
  <si>
    <t>DESCRIPCION</t>
  </si>
  <si>
    <t>PUBLICIDAD</t>
  </si>
  <si>
    <t>MUESTRA</t>
  </si>
  <si>
    <t>PRODUCTO</t>
  </si>
  <si>
    <t>POLOS</t>
  </si>
  <si>
    <t>LAPICEROS</t>
  </si>
  <si>
    <t>TIPO  MATERIAL</t>
  </si>
  <si>
    <t>AFICHE</t>
  </si>
  <si>
    <t>NRO</t>
  </si>
  <si>
    <t>TIPO REGISTRO</t>
  </si>
  <si>
    <t>PERMISO</t>
  </si>
  <si>
    <t>DESCANSO MEDICO</t>
  </si>
  <si>
    <t>SUSPENSIONES</t>
  </si>
  <si>
    <t xml:space="preserve">VACACIONES </t>
  </si>
  <si>
    <t>PERSONAL</t>
  </si>
  <si>
    <t>FECHA INICIO</t>
  </si>
  <si>
    <t>FECHA FIN</t>
  </si>
  <si>
    <t>MOTIVO</t>
  </si>
  <si>
    <t>HORA INICIO</t>
  </si>
  <si>
    <t>HORA FIN</t>
  </si>
  <si>
    <t>cod tipo</t>
  </si>
  <si>
    <t>horas devolver personal</t>
  </si>
  <si>
    <t>p004</t>
  </si>
  <si>
    <t>enfermedad</t>
  </si>
  <si>
    <t>imagen</t>
  </si>
  <si>
    <t>p005</t>
  </si>
  <si>
    <t>falta</t>
  </si>
  <si>
    <t>p006</t>
  </si>
  <si>
    <t>vacaciones</t>
  </si>
  <si>
    <t>tipo</t>
  </si>
  <si>
    <t>personal</t>
  </si>
  <si>
    <t>p001</t>
  </si>
  <si>
    <t>fecha</t>
  </si>
  <si>
    <t>por pagar</t>
  </si>
  <si>
    <t>por cobrar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</si>
</sst>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vertical="center"/>
    </xf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right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5176-F291-4860-9F27-F5D4F291F6B5}">
  <dimension ref="A1:M4"/>
  <sheetViews>
    <sheetView workbookViewId="0"/>
  </sheetViews>
  <sheetFormatPr baseColWidth="10" defaultRowHeight="15" x14ac:dyDescent="0.25"/>
  <cols>
    <col min="1" max="1" width="12.5703125" bestFit="1" customWidth="1"/>
    <col min="2" max="2" width="21" bestFit="1" customWidth="1"/>
    <col min="3" max="3" width="24.28515625" bestFit="1" customWidth="1"/>
    <col min="4" max="4" width="14" customWidth="1"/>
    <col min="5" max="5" width="37.140625" bestFit="1" customWidth="1"/>
    <col min="6" max="6" width="17.140625" bestFit="1" customWidth="1"/>
    <col min="9" max="9" width="10" customWidth="1"/>
    <col min="10" max="10" width="16.42578125" bestFit="1" customWidth="1"/>
    <col min="12" max="12" width="14.140625" bestFit="1" customWidth="1"/>
    <col min="13" max="13" width="13.85546875" customWidth="1"/>
  </cols>
  <sheetData>
    <row r="1" spans="1:13" ht="45" x14ac:dyDescent="0.25">
      <c r="A1" s="2" t="s">
        <v>10</v>
      </c>
      <c r="B1" s="2" t="s">
        <v>6</v>
      </c>
      <c r="C1" s="4" t="s">
        <v>0</v>
      </c>
      <c r="D1" s="2" t="s">
        <v>5</v>
      </c>
      <c r="E1" s="2" t="s">
        <v>7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8</v>
      </c>
      <c r="K1" s="2" t="s">
        <v>9</v>
      </c>
      <c r="L1" s="2" t="s">
        <v>11</v>
      </c>
      <c r="M1" s="2" t="s">
        <v>32</v>
      </c>
    </row>
    <row r="2" spans="1:13" x14ac:dyDescent="0.25">
      <c r="A2">
        <v>1</v>
      </c>
      <c r="B2" t="s">
        <v>22</v>
      </c>
      <c r="C2" t="s">
        <v>23</v>
      </c>
      <c r="D2" s="3" t="s">
        <v>24</v>
      </c>
      <c r="E2" s="3" t="s">
        <v>25</v>
      </c>
      <c r="F2" s="5">
        <v>45699</v>
      </c>
      <c r="G2" s="5">
        <v>45700</v>
      </c>
      <c r="H2" s="6">
        <v>0.375</v>
      </c>
      <c r="I2" s="6">
        <v>0.75</v>
      </c>
      <c r="J2" t="s">
        <v>26</v>
      </c>
      <c r="K2">
        <v>992769855</v>
      </c>
      <c r="L2" t="s">
        <v>12</v>
      </c>
      <c r="M2" t="s">
        <v>21</v>
      </c>
    </row>
    <row r="3" spans="1:13" x14ac:dyDescent="0.25">
      <c r="L3" t="s">
        <v>13</v>
      </c>
    </row>
    <row r="4" spans="1:13" x14ac:dyDescent="0.25">
      <c r="L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77E2-2A0F-4360-96A9-AD72733C3621}">
  <dimension ref="A1:K5"/>
  <sheetViews>
    <sheetView workbookViewId="0">
      <selection activeCell="B5" sqref="B5"/>
    </sheetView>
  </sheetViews>
  <sheetFormatPr baseColWidth="10" defaultRowHeight="15" x14ac:dyDescent="0.25"/>
  <cols>
    <col min="4" max="4" width="14.42578125" customWidth="1"/>
    <col min="5" max="5" width="14" customWidth="1"/>
    <col min="10" max="10" width="14.85546875" customWidth="1"/>
    <col min="11" max="11" width="16.85546875" customWidth="1"/>
  </cols>
  <sheetData>
    <row r="1" spans="1:11" ht="60" x14ac:dyDescent="0.25">
      <c r="A1" s="2" t="s">
        <v>10</v>
      </c>
      <c r="B1" s="1" t="s">
        <v>15</v>
      </c>
      <c r="C1" s="2" t="s">
        <v>18</v>
      </c>
      <c r="D1" s="1" t="s">
        <v>16</v>
      </c>
      <c r="E1" s="2" t="s">
        <v>17</v>
      </c>
      <c r="F1" s="1" t="s">
        <v>19</v>
      </c>
      <c r="G1" s="2" t="s">
        <v>20</v>
      </c>
      <c r="H1" s="2" t="s">
        <v>29</v>
      </c>
      <c r="I1" s="2" t="s">
        <v>30</v>
      </c>
      <c r="J1" s="2" t="s">
        <v>27</v>
      </c>
      <c r="K1" s="2" t="s">
        <v>28</v>
      </c>
    </row>
    <row r="2" spans="1:11" x14ac:dyDescent="0.25">
      <c r="A2">
        <v>1</v>
      </c>
      <c r="B2" t="s">
        <v>21</v>
      </c>
      <c r="C2" s="5">
        <v>45699</v>
      </c>
      <c r="D2" s="6">
        <v>0.375</v>
      </c>
      <c r="E2" s="6">
        <v>0.75</v>
      </c>
      <c r="F2" s="6">
        <v>0.37152777777777779</v>
      </c>
      <c r="G2" s="6">
        <v>0.72222222222222221</v>
      </c>
      <c r="H2" s="6">
        <f>+G2-F2</f>
        <v>0.35069444444444442</v>
      </c>
      <c r="I2" s="6">
        <v>0.375</v>
      </c>
      <c r="K2" s="6">
        <f>+I2-H2</f>
        <v>2.430555555555558E-2</v>
      </c>
    </row>
    <row r="3" spans="1:11" x14ac:dyDescent="0.25">
      <c r="A3">
        <v>1</v>
      </c>
      <c r="B3" t="s">
        <v>21</v>
      </c>
      <c r="C3" s="5">
        <v>45700</v>
      </c>
      <c r="D3" s="6">
        <v>0.375</v>
      </c>
      <c r="E3" s="6">
        <v>0.75</v>
      </c>
      <c r="F3" s="6">
        <v>0.375</v>
      </c>
      <c r="G3" s="6">
        <v>0.79166666666666663</v>
      </c>
      <c r="H3" s="6">
        <f>+(G3-F3)</f>
        <v>0.41666666666666663</v>
      </c>
      <c r="I3" s="6">
        <v>0.375</v>
      </c>
      <c r="J3" s="6">
        <f>+H3-I3</f>
        <v>4.166666666666663E-2</v>
      </c>
    </row>
    <row r="4" spans="1:11" x14ac:dyDescent="0.25">
      <c r="A4">
        <v>1</v>
      </c>
      <c r="B4" t="s">
        <v>31</v>
      </c>
      <c r="C4" s="5">
        <v>45699</v>
      </c>
      <c r="D4" s="6">
        <v>0.375</v>
      </c>
      <c r="E4" s="6">
        <v>0.75</v>
      </c>
      <c r="F4" s="6">
        <v>0.20833333333333334</v>
      </c>
      <c r="G4" s="6">
        <v>0.79166666666666663</v>
      </c>
      <c r="H4" s="6">
        <f>+(G4-F4)</f>
        <v>0.58333333333333326</v>
      </c>
      <c r="I4" s="6">
        <v>0.375</v>
      </c>
      <c r="J4" s="6">
        <f>+H4-I4</f>
        <v>0.20833333333333326</v>
      </c>
    </row>
    <row r="5" spans="1:11" x14ac:dyDescent="0.25">
      <c r="A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90A8-81A4-413C-9BEA-B71BA70D5C26}">
  <dimension ref="A1:D2"/>
  <sheetViews>
    <sheetView workbookViewId="0">
      <selection activeCell="E1" sqref="E1"/>
    </sheetView>
  </sheetViews>
  <sheetFormatPr baseColWidth="10" defaultRowHeight="15" x14ac:dyDescent="0.25"/>
  <sheetData>
    <row r="1" spans="1:4" ht="30" x14ac:dyDescent="0.25">
      <c r="A1" s="1" t="s">
        <v>10</v>
      </c>
      <c r="B1" t="s">
        <v>33</v>
      </c>
      <c r="C1" s="1" t="s">
        <v>35</v>
      </c>
      <c r="D1" s="1" t="s">
        <v>36</v>
      </c>
    </row>
    <row r="2" spans="1:4" x14ac:dyDescent="0.25">
      <c r="A2">
        <v>1</v>
      </c>
      <c r="B2" t="s">
        <v>34</v>
      </c>
      <c r="C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6D4F-2369-4580-9C2C-E9BF5DB49701}">
  <dimension ref="A1:D6"/>
  <sheetViews>
    <sheetView workbookViewId="0">
      <selection activeCell="D1" sqref="D1"/>
    </sheetView>
  </sheetViews>
  <sheetFormatPr baseColWidth="10" defaultRowHeight="15" x14ac:dyDescent="0.25"/>
  <cols>
    <col min="1" max="1" width="8.140625" bestFit="1" customWidth="1"/>
    <col min="2" max="2" width="9" bestFit="1" customWidth="1"/>
    <col min="3" max="3" width="14.85546875" bestFit="1" customWidth="1"/>
    <col min="4" max="4" width="12.85546875" bestFit="1" customWidth="1"/>
  </cols>
  <sheetData>
    <row r="1" spans="1:4" ht="30" x14ac:dyDescent="0.25">
      <c r="A1" t="s">
        <v>37</v>
      </c>
      <c r="B1" s="1" t="s">
        <v>39</v>
      </c>
      <c r="C1" t="s">
        <v>46</v>
      </c>
      <c r="D1" t="s">
        <v>40</v>
      </c>
    </row>
    <row r="2" spans="1:4" x14ac:dyDescent="0.25">
      <c r="A2">
        <v>1</v>
      </c>
      <c r="B2" t="s">
        <v>38</v>
      </c>
      <c r="C2" t="s">
        <v>41</v>
      </c>
      <c r="D2" t="s">
        <v>47</v>
      </c>
    </row>
    <row r="3" spans="1:4" x14ac:dyDescent="0.25">
      <c r="C3" t="s">
        <v>42</v>
      </c>
    </row>
    <row r="4" spans="1:4" x14ac:dyDescent="0.25">
      <c r="C4" t="s">
        <v>43</v>
      </c>
    </row>
    <row r="5" spans="1:4" x14ac:dyDescent="0.25">
      <c r="C5" t="s">
        <v>44</v>
      </c>
    </row>
    <row r="6" spans="1:4" x14ac:dyDescent="0.25">
      <c r="C6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5B0D-F9EC-4ACD-9DEE-9FAA7D4701AD}">
  <dimension ref="A1:K5"/>
  <sheetViews>
    <sheetView workbookViewId="0">
      <selection activeCell="J5" sqref="J5"/>
    </sheetView>
  </sheetViews>
  <sheetFormatPr baseColWidth="10" defaultRowHeight="15" x14ac:dyDescent="0.25"/>
  <cols>
    <col min="3" max="3" width="18.28515625" bestFit="1" customWidth="1"/>
    <col min="5" max="5" width="12.85546875" bestFit="1" customWidth="1"/>
    <col min="8" max="8" width="12.28515625" bestFit="1" customWidth="1"/>
  </cols>
  <sheetData>
    <row r="1" spans="1:11" ht="45" x14ac:dyDescent="0.25">
      <c r="A1" t="s">
        <v>48</v>
      </c>
      <c r="B1" t="s">
        <v>60</v>
      </c>
      <c r="C1" t="s">
        <v>49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s="7" t="s">
        <v>61</v>
      </c>
      <c r="K1" t="s">
        <v>64</v>
      </c>
    </row>
    <row r="2" spans="1:11" x14ac:dyDescent="0.25">
      <c r="A2">
        <v>1</v>
      </c>
      <c r="B2">
        <v>1</v>
      </c>
      <c r="C2" t="s">
        <v>50</v>
      </c>
      <c r="D2" t="s">
        <v>21</v>
      </c>
      <c r="E2" s="5">
        <v>45697</v>
      </c>
      <c r="F2" s="5">
        <v>45697</v>
      </c>
      <c r="G2" t="s">
        <v>54</v>
      </c>
      <c r="H2" s="6">
        <v>0.375</v>
      </c>
      <c r="I2" s="6">
        <v>0.5</v>
      </c>
      <c r="J2" s="6">
        <f>+I2-H2</f>
        <v>0.125</v>
      </c>
    </row>
    <row r="3" spans="1:11" x14ac:dyDescent="0.25">
      <c r="A3">
        <v>2</v>
      </c>
      <c r="B3">
        <v>2</v>
      </c>
      <c r="C3" t="s">
        <v>51</v>
      </c>
      <c r="D3" t="s">
        <v>62</v>
      </c>
      <c r="E3" s="5">
        <v>45699</v>
      </c>
      <c r="F3" s="5">
        <v>45701</v>
      </c>
      <c r="G3" t="s">
        <v>63</v>
      </c>
    </row>
    <row r="4" spans="1:11" x14ac:dyDescent="0.25">
      <c r="A4">
        <v>3</v>
      </c>
      <c r="B4">
        <v>3</v>
      </c>
      <c r="C4" t="s">
        <v>52</v>
      </c>
      <c r="D4" t="s">
        <v>65</v>
      </c>
      <c r="E4" s="5">
        <v>45699</v>
      </c>
      <c r="F4" s="5">
        <v>45699</v>
      </c>
      <c r="G4" t="s">
        <v>66</v>
      </c>
      <c r="H4" s="6">
        <v>0.375</v>
      </c>
      <c r="I4" s="6">
        <v>0.75</v>
      </c>
      <c r="J4" s="6">
        <f>+I4-H4</f>
        <v>0.375</v>
      </c>
    </row>
    <row r="5" spans="1:11" x14ac:dyDescent="0.25">
      <c r="A5">
        <v>4</v>
      </c>
      <c r="B5">
        <v>4</v>
      </c>
      <c r="C5" t="s">
        <v>53</v>
      </c>
      <c r="D5" t="s">
        <v>67</v>
      </c>
      <c r="E5" s="5">
        <v>45668</v>
      </c>
      <c r="F5" s="5">
        <v>45696</v>
      </c>
      <c r="G5" t="s">
        <v>68</v>
      </c>
      <c r="J5" s="8">
        <f>+F5-E5</f>
        <v>28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6B7A-8E7D-4A45-A669-57D7D4E6BF1B}">
  <dimension ref="A1:E7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t="s">
        <v>69</v>
      </c>
      <c r="B1" t="s">
        <v>70</v>
      </c>
      <c r="C1" t="s">
        <v>72</v>
      </c>
      <c r="D1" t="s">
        <v>73</v>
      </c>
      <c r="E1" t="s">
        <v>74</v>
      </c>
    </row>
    <row r="2" spans="1:5" x14ac:dyDescent="0.25">
      <c r="A2">
        <v>0</v>
      </c>
      <c r="B2" t="s">
        <v>71</v>
      </c>
    </row>
    <row r="3" spans="1:5" x14ac:dyDescent="0.25">
      <c r="A3">
        <v>1</v>
      </c>
    </row>
    <row r="4" spans="1:5" x14ac:dyDescent="0.25">
      <c r="A4">
        <v>2</v>
      </c>
    </row>
    <row r="5" spans="1:5" x14ac:dyDescent="0.25">
      <c r="A5">
        <v>3</v>
      </c>
    </row>
    <row r="6" spans="1:5" x14ac:dyDescent="0.25">
      <c r="A6">
        <v>4</v>
      </c>
    </row>
    <row r="7" spans="1:5" x14ac:dyDescent="0.25">
      <c r="A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EVENTOS</vt:lpstr>
      <vt:lpstr>PARTICIPANTES EVENTO</vt:lpstr>
      <vt:lpstr>MATERIAL DEL EVENTO</vt:lpstr>
      <vt:lpstr>MATERIALES</vt:lpstr>
      <vt:lpstr>PERMISOS DESCANSOS</vt:lpstr>
      <vt:lpstr>COMPENSACIONES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cornejo</dc:creator>
  <cp:lastModifiedBy>herbert cornejo</cp:lastModifiedBy>
  <dcterms:created xsi:type="dcterms:W3CDTF">2025-02-12T22:31:44Z</dcterms:created>
  <dcterms:modified xsi:type="dcterms:W3CDTF">2025-02-13T14:48:49Z</dcterms:modified>
</cp:coreProperties>
</file>